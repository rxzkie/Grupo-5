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BURNDOWN CHART final,final\"/>
    </mc:Choice>
  </mc:AlternateContent>
  <xr:revisionPtr revIDLastSave="0" documentId="13_ncr:1_{A280E19B-91D4-464C-820B-205999133C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rndown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2" i="2"/>
  <c r="B3" i="2"/>
  <c r="D16" i="1"/>
  <c r="C16" i="1"/>
  <c r="F16" i="1" s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C3" i="1"/>
  <c r="B5" i="2" l="1"/>
  <c r="B4" i="2"/>
  <c r="B7" i="2" s="1"/>
</calcChain>
</file>

<file path=xl/sharedStrings.xml><?xml version="1.0" encoding="utf-8"?>
<sst xmlns="http://schemas.openxmlformats.org/spreadsheetml/2006/main" count="15" uniqueCount="15">
  <si>
    <t>Día</t>
  </si>
  <si>
    <t>Horas completadas</t>
  </si>
  <si>
    <t>Acumulado</t>
  </si>
  <si>
    <t>Esfuerzo total</t>
  </si>
  <si>
    <t>Ideal restante</t>
  </si>
  <si>
    <t>Real restante</t>
  </si>
  <si>
    <t>Métrica</t>
  </si>
  <si>
    <t>Valor / Fórmula</t>
  </si>
  <si>
    <t>Esfuerzo total (h)</t>
  </si>
  <si>
    <t>Horas completadas (acumuladas)</t>
  </si>
  <si>
    <t>Horas restantes (reales)</t>
  </si>
  <si>
    <t>% Avance</t>
  </si>
  <si>
    <t>Velocidad promedio (h/día)</t>
  </si>
  <si>
    <t>Días restantes proyectados</t>
  </si>
  <si>
    <t>Burndown Chart – Sprint 4 – Integración (Sem 11–13)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</si>
</sst>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Burndown – Sprint 4 – Integración (Sem 11–13)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Burndown!$E$2</c:f>
              <c:strCache>
                <c:ptCount val="1"/>
                <c:pt idx="0">
                  <c:v>Ideal restante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Burndown!$E$3:$E$16</c:f>
              <c:numCache>
                <c:formatCode>General</c:formatCode>
                <c:ptCount val="14"/>
                <c:pt idx="0">
                  <c:v>30</c:v>
                </c:pt>
                <c:pt idx="1">
                  <c:v>27.7</c:v>
                </c:pt>
                <c:pt idx="2">
                  <c:v>25.4</c:v>
                </c:pt>
                <c:pt idx="3">
                  <c:v>23.1</c:v>
                </c:pt>
                <c:pt idx="4">
                  <c:v>20.8</c:v>
                </c:pt>
                <c:pt idx="5">
                  <c:v>18.5</c:v>
                </c:pt>
                <c:pt idx="6">
                  <c:v>16.2</c:v>
                </c:pt>
                <c:pt idx="7">
                  <c:v>13.9</c:v>
                </c:pt>
                <c:pt idx="8">
                  <c:v>11.6</c:v>
                </c:pt>
                <c:pt idx="9">
                  <c:v>9.3000000000000007</c:v>
                </c:pt>
                <c:pt idx="10">
                  <c:v>7</c:v>
                </c:pt>
                <c:pt idx="11">
                  <c:v>4.7</c:v>
                </c:pt>
                <c:pt idx="12">
                  <c:v>2.4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D-44BE-B304-2DD093397BC5}"/>
            </c:ext>
          </c:extLst>
        </c:ser>
        <c:ser>
          <c:idx val="1"/>
          <c:order val="1"/>
          <c:tx>
            <c:strRef>
              <c:f>Burndown!$F$2</c:f>
              <c:strCache>
                <c:ptCount val="1"/>
                <c:pt idx="0">
                  <c:v>Real restante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Burndown!$F$3:$F$16</c:f>
              <c:numCache>
                <c:formatCode>General</c:formatCode>
                <c:ptCount val="14"/>
                <c:pt idx="0">
                  <c:v>30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25</c:v>
                </c:pt>
                <c:pt idx="5">
                  <c:v>23</c:v>
                </c:pt>
                <c:pt idx="6">
                  <c:v>21</c:v>
                </c:pt>
                <c:pt idx="7">
                  <c:v>18</c:v>
                </c:pt>
                <c:pt idx="8">
                  <c:v>14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D-44BE-B304-2DD09339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"/>
    </sheetView>
  </sheetViews>
  <sheetFormatPr baseColWidth="10" defaultColWidth="9.140625" defaultRowHeight="15" x14ac:dyDescent="0.25"/>
  <cols>
    <col min="1" max="6" width="18" customWidth="1"/>
  </cols>
  <sheetData>
    <row r="1" spans="1:6" ht="18.75" x14ac:dyDescent="0.3">
      <c r="A1" s="3" t="s">
        <v>14</v>
      </c>
      <c r="B1" s="4"/>
      <c r="C1" s="4"/>
      <c r="D1" s="4"/>
      <c r="E1" s="4"/>
      <c r="F1" s="4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2">
        <v>1</v>
      </c>
      <c r="C3" s="2">
        <f>SUM($B$3:B3)</f>
        <v>1</v>
      </c>
      <c r="D3" s="2">
        <v>55</v>
      </c>
      <c r="E3" s="2">
        <v>30</v>
      </c>
      <c r="F3" s="2">
        <v>30</v>
      </c>
    </row>
    <row r="4" spans="1:6" x14ac:dyDescent="0.25">
      <c r="A4" s="2">
        <v>2</v>
      </c>
      <c r="B4" s="2">
        <v>1</v>
      </c>
      <c r="C4" s="2">
        <f>SUM($B$3:B4)</f>
        <v>2</v>
      </c>
      <c r="D4" s="2">
        <f t="shared" ref="D4:D16" si="0">$D$3</f>
        <v>55</v>
      </c>
      <c r="E4" s="2">
        <v>27.7</v>
      </c>
      <c r="F4" s="2">
        <v>29</v>
      </c>
    </row>
    <row r="5" spans="1:6" x14ac:dyDescent="0.25">
      <c r="A5" s="2">
        <v>3</v>
      </c>
      <c r="B5" s="2">
        <v>1</v>
      </c>
      <c r="C5" s="2">
        <f>SUM($B$3:B5)</f>
        <v>3</v>
      </c>
      <c r="D5" s="2">
        <f t="shared" si="0"/>
        <v>55</v>
      </c>
      <c r="E5" s="2">
        <v>25.4</v>
      </c>
      <c r="F5" s="2">
        <v>28</v>
      </c>
    </row>
    <row r="6" spans="1:6" x14ac:dyDescent="0.25">
      <c r="A6" s="2">
        <v>4</v>
      </c>
      <c r="B6" s="2">
        <v>1</v>
      </c>
      <c r="C6" s="2">
        <f>SUM($B$3:B6)</f>
        <v>4</v>
      </c>
      <c r="D6" s="2">
        <f t="shared" si="0"/>
        <v>55</v>
      </c>
      <c r="E6" s="2">
        <v>23.1</v>
      </c>
      <c r="F6" s="2">
        <v>27</v>
      </c>
    </row>
    <row r="7" spans="1:6" x14ac:dyDescent="0.25">
      <c r="A7" s="2">
        <v>5</v>
      </c>
      <c r="B7" s="2">
        <v>1</v>
      </c>
      <c r="C7" s="2">
        <f>SUM($B$3:B7)</f>
        <v>5</v>
      </c>
      <c r="D7" s="2">
        <f t="shared" si="0"/>
        <v>55</v>
      </c>
      <c r="E7" s="2">
        <v>20.8</v>
      </c>
      <c r="F7" s="2">
        <v>25</v>
      </c>
    </row>
    <row r="8" spans="1:6" x14ac:dyDescent="0.25">
      <c r="A8" s="2">
        <v>6</v>
      </c>
      <c r="B8" s="2">
        <v>1</v>
      </c>
      <c r="C8" s="2">
        <f>SUM($B$3:B8)</f>
        <v>6</v>
      </c>
      <c r="D8" s="2">
        <f t="shared" si="0"/>
        <v>55</v>
      </c>
      <c r="E8" s="2">
        <v>18.5</v>
      </c>
      <c r="F8" s="2">
        <v>23</v>
      </c>
    </row>
    <row r="9" spans="1:6" x14ac:dyDescent="0.25">
      <c r="A9" s="2">
        <v>7</v>
      </c>
      <c r="B9" s="2">
        <v>0</v>
      </c>
      <c r="C9" s="2">
        <f>SUM($B$3:B9)</f>
        <v>6</v>
      </c>
      <c r="D9" s="2">
        <f t="shared" si="0"/>
        <v>55</v>
      </c>
      <c r="E9" s="2">
        <v>16.2</v>
      </c>
      <c r="F9" s="2">
        <v>21</v>
      </c>
    </row>
    <row r="10" spans="1:6" x14ac:dyDescent="0.25">
      <c r="A10" s="2">
        <v>8</v>
      </c>
      <c r="B10" s="2">
        <v>6</v>
      </c>
      <c r="C10" s="2">
        <f>SUM($B$3:B10)</f>
        <v>12</v>
      </c>
      <c r="D10" s="2">
        <f t="shared" si="0"/>
        <v>55</v>
      </c>
      <c r="E10" s="2">
        <v>13.9</v>
      </c>
      <c r="F10" s="2">
        <v>18</v>
      </c>
    </row>
    <row r="11" spans="1:6" x14ac:dyDescent="0.25">
      <c r="A11" s="2">
        <v>9</v>
      </c>
      <c r="B11" s="2">
        <v>7</v>
      </c>
      <c r="C11" s="2">
        <f>SUM($B$3:B11)</f>
        <v>19</v>
      </c>
      <c r="D11" s="2">
        <f t="shared" si="0"/>
        <v>55</v>
      </c>
      <c r="E11" s="2">
        <v>11.6</v>
      </c>
      <c r="F11" s="2">
        <v>14</v>
      </c>
    </row>
    <row r="12" spans="1:6" x14ac:dyDescent="0.25">
      <c r="A12" s="2">
        <v>10</v>
      </c>
      <c r="B12" s="2">
        <v>8</v>
      </c>
      <c r="C12" s="2">
        <f>SUM($B$3:B12)</f>
        <v>27</v>
      </c>
      <c r="D12" s="2">
        <f t="shared" si="0"/>
        <v>55</v>
      </c>
      <c r="E12" s="2">
        <v>9.3000000000000007</v>
      </c>
      <c r="F12" s="2">
        <v>10</v>
      </c>
    </row>
    <row r="13" spans="1:6" x14ac:dyDescent="0.25">
      <c r="A13" s="2">
        <v>11</v>
      </c>
      <c r="B13" s="2">
        <v>7</v>
      </c>
      <c r="C13" s="2">
        <f>SUM($B$3:B13)</f>
        <v>34</v>
      </c>
      <c r="D13" s="2">
        <f t="shared" si="0"/>
        <v>55</v>
      </c>
      <c r="E13" s="2">
        <v>7</v>
      </c>
      <c r="F13" s="2">
        <v>7</v>
      </c>
    </row>
    <row r="14" spans="1:6" x14ac:dyDescent="0.25">
      <c r="A14" s="2">
        <v>12</v>
      </c>
      <c r="B14" s="2">
        <v>6</v>
      </c>
      <c r="C14" s="2">
        <f>SUM($B$3:B14)</f>
        <v>40</v>
      </c>
      <c r="D14" s="2">
        <f t="shared" si="0"/>
        <v>55</v>
      </c>
      <c r="E14" s="2">
        <v>4.7</v>
      </c>
      <c r="F14" s="2">
        <v>4</v>
      </c>
    </row>
    <row r="15" spans="1:6" x14ac:dyDescent="0.25">
      <c r="A15" s="2">
        <v>13</v>
      </c>
      <c r="B15" s="2">
        <v>7</v>
      </c>
      <c r="C15" s="2">
        <f>SUM($B$3:B15)</f>
        <v>47</v>
      </c>
      <c r="D15" s="2">
        <f t="shared" si="0"/>
        <v>55</v>
      </c>
      <c r="E15" s="2">
        <v>2.4</v>
      </c>
      <c r="F15" s="2">
        <v>2</v>
      </c>
    </row>
    <row r="16" spans="1:6" x14ac:dyDescent="0.25">
      <c r="A16" s="2">
        <v>14</v>
      </c>
      <c r="B16" s="2">
        <v>8</v>
      </c>
      <c r="C16" s="2">
        <f>SUM($B$3:B16)</f>
        <v>55</v>
      </c>
      <c r="D16" s="2">
        <f t="shared" si="0"/>
        <v>55</v>
      </c>
      <c r="E16" s="2">
        <v>0</v>
      </c>
      <c r="F16" s="2">
        <f t="shared" ref="F16" si="1">$D$3-C16</f>
        <v>0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cols>
    <col min="1" max="1" width="40" customWidth="1"/>
    <col min="2" max="2" width="30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 t="s">
        <v>8</v>
      </c>
      <c r="B2" s="2">
        <f>Burndown!$D$3</f>
        <v>55</v>
      </c>
    </row>
    <row r="3" spans="1:2" x14ac:dyDescent="0.25">
      <c r="A3" s="2" t="s">
        <v>9</v>
      </c>
      <c r="B3" s="2" t="e">
        <f>Burndown!#REF!</f>
        <v>#REF!</v>
      </c>
    </row>
    <row r="4" spans="1:2" x14ac:dyDescent="0.25">
      <c r="A4" s="2" t="s">
        <v>10</v>
      </c>
      <c r="B4" s="2" t="e">
        <f>Burndown!#REF!</f>
        <v>#REF!</v>
      </c>
    </row>
    <row r="5" spans="1:2" x14ac:dyDescent="0.25">
      <c r="A5" s="2" t="s">
        <v>11</v>
      </c>
      <c r="B5" s="2" t="e">
        <f>IF(B2=0,0,B3/B2)</f>
        <v>#REF!</v>
      </c>
    </row>
    <row r="6" spans="1:2" x14ac:dyDescent="0.25">
      <c r="A6" s="2" t="s">
        <v>12</v>
      </c>
      <c r="B6" s="2" t="e">
        <f>AVERAGE(Burndown!$B$3:Burndown!#REF!)</f>
        <v>#REF!</v>
      </c>
    </row>
    <row r="7" spans="1:2" x14ac:dyDescent="0.25">
      <c r="A7" t="s">
        <v>13</v>
      </c>
      <c r="B7" t="e">
        <f>IF(B6=0,0,B4/B6)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2025-10-16T01:41:18Z</dcterms:created>
  <dcterms:modified xsi:type="dcterms:W3CDTF">2025-11-27T02:12:57Z</dcterms:modified>
</cp:coreProperties>
</file>