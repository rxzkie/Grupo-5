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– Sprint 3 – Integración (Sem 8–10)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'Burndown'!$A$3:$A$23</f>
            </numRef>
          </cat>
          <val>
            <numRef>
              <f>'Burndown'!$E$3:$E$23</f>
            </numRef>
          </val>
        </ser>
        <ser>
          <idx val="1"/>
          <order val="1"/>
          <tx>
            <strRef>
              <f>'Burndown'!F2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'Burndown'!$A$3:$A$23</f>
            </numRef>
          </cat>
          <val>
            <numRef>
              <f>'Burndown'!$F$3:$F$23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Burndown Chart – Sprint 3 – Integración (Sem 8–10)</t>
        </is>
      </c>
    </row>
    <row r="2">
      <c r="A2" s="2" t="inlineStr">
        <is>
          <t>Día</t>
        </is>
      </c>
      <c r="B2" s="2" t="inlineStr">
        <is>
          <t>Horas completadas</t>
        </is>
      </c>
      <c r="C2" s="2" t="inlineStr">
        <is>
          <t>Acumulado</t>
        </is>
      </c>
      <c r="D2" s="2" t="inlineStr">
        <is>
          <t>Esfuerzo total</t>
        </is>
      </c>
      <c r="E2" s="2" t="inlineStr">
        <is>
          <t>Ideal restante</t>
        </is>
      </c>
      <c r="F2" s="2" t="inlineStr">
        <is>
          <t>Real restante</t>
        </is>
      </c>
    </row>
    <row r="3">
      <c r="A3" s="3" t="n">
        <v>1</v>
      </c>
      <c r="B3" s="3" t="n">
        <v>1</v>
      </c>
      <c r="C3" s="3">
        <f>SUM($B$3:B3)</f>
        <v/>
      </c>
      <c r="D3" s="3" t="n">
        <v>55</v>
      </c>
      <c r="E3" s="3">
        <f>$D$3*(1-((1-1)/20))</f>
        <v/>
      </c>
      <c r="F3" s="3">
        <f>$D$3-C3</f>
        <v/>
      </c>
    </row>
    <row r="4">
      <c r="A4" s="3" t="n">
        <v>2</v>
      </c>
      <c r="B4" s="3" t="n">
        <v>1</v>
      </c>
      <c r="C4" s="3">
        <f>SUM($B$3:B4)</f>
        <v/>
      </c>
      <c r="D4" s="3">
        <f>$D$3</f>
        <v/>
      </c>
      <c r="E4" s="3">
        <f>$D$3*(1-((2-1)/20))</f>
        <v/>
      </c>
      <c r="F4" s="3">
        <f>$D$3-C4</f>
        <v/>
      </c>
    </row>
    <row r="5">
      <c r="A5" s="3" t="n">
        <v>3</v>
      </c>
      <c r="B5" s="3" t="n">
        <v>1</v>
      </c>
      <c r="C5" s="3">
        <f>SUM($B$3:B5)</f>
        <v/>
      </c>
      <c r="D5" s="3">
        <f>$D$3</f>
        <v/>
      </c>
      <c r="E5" s="3">
        <f>$D$3*(1-((3-1)/20))</f>
        <v/>
      </c>
      <c r="F5" s="3">
        <f>$D$3-C5</f>
        <v/>
      </c>
    </row>
    <row r="6">
      <c r="A6" s="3" t="n">
        <v>4</v>
      </c>
      <c r="B6" s="3" t="n">
        <v>1</v>
      </c>
      <c r="C6" s="3">
        <f>SUM($B$3:B6)</f>
        <v/>
      </c>
      <c r="D6" s="3">
        <f>$D$3</f>
        <v/>
      </c>
      <c r="E6" s="3">
        <f>$D$3*(1-((4-1)/20))</f>
        <v/>
      </c>
      <c r="F6" s="3">
        <f>$D$3-C6</f>
        <v/>
      </c>
    </row>
    <row r="7">
      <c r="A7" s="3" t="n">
        <v>5</v>
      </c>
      <c r="B7" s="3" t="n">
        <v>1</v>
      </c>
      <c r="C7" s="3">
        <f>SUM($B$3:B7)</f>
        <v/>
      </c>
      <c r="D7" s="3">
        <f>$D$3</f>
        <v/>
      </c>
      <c r="E7" s="3">
        <f>$D$3*(1-((5-1)/20))</f>
        <v/>
      </c>
      <c r="F7" s="3">
        <f>$D$3-C7</f>
        <v/>
      </c>
    </row>
    <row r="8">
      <c r="A8" s="3" t="n">
        <v>6</v>
      </c>
      <c r="B8" s="3" t="n">
        <v>1</v>
      </c>
      <c r="C8" s="3">
        <f>SUM($B$3:B8)</f>
        <v/>
      </c>
      <c r="D8" s="3">
        <f>$D$3</f>
        <v/>
      </c>
      <c r="E8" s="3">
        <f>$D$3*(1-((6-1)/20))</f>
        <v/>
      </c>
      <c r="F8" s="3">
        <f>$D$3-C8</f>
        <v/>
      </c>
    </row>
    <row r="9">
      <c r="A9" s="3" t="n">
        <v>7</v>
      </c>
      <c r="B9" s="3" t="n">
        <v>0</v>
      </c>
      <c r="C9" s="3">
        <f>SUM($B$3:B9)</f>
        <v/>
      </c>
      <c r="D9" s="3">
        <f>$D$3</f>
        <v/>
      </c>
      <c r="E9" s="3">
        <f>$D$3*(1-((7-1)/20))</f>
        <v/>
      </c>
      <c r="F9" s="3">
        <f>$D$3-C9</f>
        <v/>
      </c>
    </row>
    <row r="10">
      <c r="A10" s="3" t="n">
        <v>8</v>
      </c>
      <c r="B10" s="3" t="n">
        <v>6</v>
      </c>
      <c r="C10" s="3">
        <f>SUM($B$3:B10)</f>
        <v/>
      </c>
      <c r="D10" s="3">
        <f>$D$3</f>
        <v/>
      </c>
      <c r="E10" s="3">
        <f>$D$3*(1-((8-1)/20))</f>
        <v/>
      </c>
      <c r="F10" s="3">
        <f>$D$3-C10</f>
        <v/>
      </c>
    </row>
    <row r="11">
      <c r="A11" s="3" t="n">
        <v>9</v>
      </c>
      <c r="B11" s="3" t="n">
        <v>7</v>
      </c>
      <c r="C11" s="3">
        <f>SUM($B$3:B11)</f>
        <v/>
      </c>
      <c r="D11" s="3">
        <f>$D$3</f>
        <v/>
      </c>
      <c r="E11" s="3">
        <f>$D$3*(1-((9-1)/20))</f>
        <v/>
      </c>
      <c r="F11" s="3">
        <f>$D$3-C11</f>
        <v/>
      </c>
    </row>
    <row r="12">
      <c r="A12" s="3" t="n">
        <v>10</v>
      </c>
      <c r="B12" s="3" t="n">
        <v>8</v>
      </c>
      <c r="C12" s="3">
        <f>SUM($B$3:B12)</f>
        <v/>
      </c>
      <c r="D12" s="3">
        <f>$D$3</f>
        <v/>
      </c>
      <c r="E12" s="3">
        <f>$D$3*(1-((10-1)/20))</f>
        <v/>
      </c>
      <c r="F12" s="3">
        <f>$D$3-C12</f>
        <v/>
      </c>
    </row>
    <row r="13">
      <c r="A13" s="3" t="n">
        <v>11</v>
      </c>
      <c r="B13" s="3" t="n">
        <v>7</v>
      </c>
      <c r="C13" s="3">
        <f>SUM($B$3:B13)</f>
        <v/>
      </c>
      <c r="D13" s="3">
        <f>$D$3</f>
        <v/>
      </c>
      <c r="E13" s="3">
        <f>$D$3*(1-((11-1)/20))</f>
        <v/>
      </c>
      <c r="F13" s="3">
        <f>$D$3-C13</f>
        <v/>
      </c>
    </row>
    <row r="14">
      <c r="A14" s="3" t="n">
        <v>12</v>
      </c>
      <c r="B14" s="3" t="n">
        <v>6</v>
      </c>
      <c r="C14" s="3">
        <f>SUM($B$3:B14)</f>
        <v/>
      </c>
      <c r="D14" s="3">
        <f>$D$3</f>
        <v/>
      </c>
      <c r="E14" s="3">
        <f>$D$3*(1-((12-1)/20))</f>
        <v/>
      </c>
      <c r="F14" s="3">
        <f>$D$3-C14</f>
        <v/>
      </c>
    </row>
    <row r="15">
      <c r="A15" s="3" t="n">
        <v>13</v>
      </c>
      <c r="B15" s="3" t="n">
        <v>7</v>
      </c>
      <c r="C15" s="3">
        <f>SUM($B$3:B15)</f>
        <v/>
      </c>
      <c r="D15" s="3">
        <f>$D$3</f>
        <v/>
      </c>
      <c r="E15" s="3">
        <f>$D$3*(1-((13-1)/20))</f>
        <v/>
      </c>
      <c r="F15" s="3">
        <f>$D$3-C15</f>
        <v/>
      </c>
    </row>
    <row r="16">
      <c r="A16" s="3" t="n">
        <v>14</v>
      </c>
      <c r="B16" s="3" t="n">
        <v>8</v>
      </c>
      <c r="C16" s="3">
        <f>SUM($B$3:B16)</f>
        <v/>
      </c>
      <c r="D16" s="3">
        <f>$D$3</f>
        <v/>
      </c>
      <c r="E16" s="3">
        <f>$D$3*(1-((14-1)/20))</f>
        <v/>
      </c>
      <c r="F16" s="3">
        <f>$D$3-C16</f>
        <v/>
      </c>
    </row>
    <row r="17">
      <c r="A17" s="3" t="n">
        <v>15</v>
      </c>
      <c r="B17" s="3" t="n">
        <v>0</v>
      </c>
      <c r="C17" s="3">
        <f>SUM($B$3:B17)</f>
        <v/>
      </c>
      <c r="D17" s="3">
        <f>$D$3</f>
        <v/>
      </c>
      <c r="E17" s="3">
        <f>$D$3*(1-((15-1)/20))</f>
        <v/>
      </c>
      <c r="F17" s="3">
        <f>$D$3-C17</f>
        <v/>
      </c>
    </row>
    <row r="18">
      <c r="A18" s="3" t="n">
        <v>16</v>
      </c>
      <c r="B18" s="3" t="n">
        <v>0</v>
      </c>
      <c r="C18" s="3">
        <f>SUM($B$3:B18)</f>
        <v/>
      </c>
      <c r="D18" s="3">
        <f>$D$3</f>
        <v/>
      </c>
      <c r="E18" s="3">
        <f>$D$3*(1-((16-1)/20))</f>
        <v/>
      </c>
      <c r="F18" s="3">
        <f>$D$3-C18</f>
        <v/>
      </c>
    </row>
    <row r="19">
      <c r="A19" s="3" t="n">
        <v>17</v>
      </c>
      <c r="B19" s="3" t="n">
        <v>0</v>
      </c>
      <c r="C19" s="3">
        <f>SUM($B$3:B19)</f>
        <v/>
      </c>
      <c r="D19" s="3">
        <f>$D$3</f>
        <v/>
      </c>
      <c r="E19" s="3">
        <f>$D$3*(1-((17-1)/20))</f>
        <v/>
      </c>
      <c r="F19" s="3">
        <f>$D$3-C19</f>
        <v/>
      </c>
    </row>
    <row r="20">
      <c r="A20" s="3" t="n">
        <v>18</v>
      </c>
      <c r="B20" s="3" t="n">
        <v>0</v>
      </c>
      <c r="C20" s="3">
        <f>SUM($B$3:B20)</f>
        <v/>
      </c>
      <c r="D20" s="3">
        <f>$D$3</f>
        <v/>
      </c>
      <c r="E20" s="3">
        <f>$D$3*(1-((18-1)/20))</f>
        <v/>
      </c>
      <c r="F20" s="3">
        <f>$D$3-C20</f>
        <v/>
      </c>
    </row>
    <row r="21">
      <c r="A21" s="3" t="n">
        <v>19</v>
      </c>
      <c r="B21" s="3" t="n">
        <v>0</v>
      </c>
      <c r="C21" s="3">
        <f>SUM($B$3:B21)</f>
        <v/>
      </c>
      <c r="D21" s="3">
        <f>$D$3</f>
        <v/>
      </c>
      <c r="E21" s="3">
        <f>$D$3*(1-((19-1)/20))</f>
        <v/>
      </c>
      <c r="F21" s="3">
        <f>$D$3-C21</f>
        <v/>
      </c>
    </row>
    <row r="22">
      <c r="A22" s="3" t="n">
        <v>20</v>
      </c>
      <c r="B22" s="3" t="n">
        <v>0</v>
      </c>
      <c r="C22" s="3">
        <f>SUM($B$3:B22)</f>
        <v/>
      </c>
      <c r="D22" s="3">
        <f>$D$3</f>
        <v/>
      </c>
      <c r="E22" s="3">
        <f>$D$3*(1-((20-1)/20))</f>
        <v/>
      </c>
      <c r="F22" s="3">
        <f>$D$3-C22</f>
        <v/>
      </c>
    </row>
    <row r="23">
      <c r="A23" s="3" t="n">
        <v>21</v>
      </c>
      <c r="B23" s="3" t="n">
        <v>0</v>
      </c>
      <c r="C23" s="3">
        <f>SUM($B$3:B23)</f>
        <v/>
      </c>
      <c r="D23" s="3">
        <f>$D$3</f>
        <v/>
      </c>
      <c r="E23" s="3">
        <f>$D$3*(1-((21-1)/20))</f>
        <v/>
      </c>
      <c r="F23" s="3">
        <f>$D$3-C23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2" t="inlineStr">
        <is>
          <t>Métrica</t>
        </is>
      </c>
      <c r="B1" s="2" t="inlineStr">
        <is>
          <t>Valor / Fórmula</t>
        </is>
      </c>
    </row>
    <row r="2">
      <c r="A2" s="3" t="inlineStr">
        <is>
          <t>Esfuerzo total (h)</t>
        </is>
      </c>
      <c r="B2" s="3">
        <f>'Burndown'!$D$3</f>
        <v/>
      </c>
    </row>
    <row r="3">
      <c r="A3" s="3" t="inlineStr">
        <is>
          <t>Horas completadas (acumuladas)</t>
        </is>
      </c>
      <c r="B3" s="3">
        <f>'Burndown'!$C$23</f>
        <v/>
      </c>
    </row>
    <row r="4">
      <c r="A4" s="3" t="inlineStr">
        <is>
          <t>Horas restantes (reales)</t>
        </is>
      </c>
      <c r="B4" s="3">
        <f>'Burndown'!$F$23</f>
        <v/>
      </c>
    </row>
    <row r="5">
      <c r="A5" s="3" t="inlineStr">
        <is>
          <t>% Avance</t>
        </is>
      </c>
      <c r="B5" s="3">
        <f>IF(B2=0,0,B3/B2)</f>
        <v/>
      </c>
    </row>
    <row r="6">
      <c r="A6" s="3" t="inlineStr">
        <is>
          <t>Velocidad promedio (h/día)</t>
        </is>
      </c>
      <c r="B6" s="3">
        <f>AVERAGE('Burndown'!$B$3:'Burndown'!$B$23)</f>
        <v/>
      </c>
    </row>
    <row r="7">
      <c r="A7" t="inlineStr">
        <is>
          <t>Días restantes proyectados</t>
        </is>
      </c>
      <c r="B7">
        <f>IF(B6=0,0,B4/B6)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2025-10-16T01:41:18Z</dcterms:created>
  <dcterms:modified xmlns:dcterms="http://purl.org/dc/terms/" xmlns:xsi="http://www.w3.org/2001/XMLSchema-instance" xsi:type="dcterms:W3CDTF">2025-10-16T01:41:18Z</dcterms:modified>
</cp:coreProperties>
</file>