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uri\OneDrive\Desktop\PERSONAL MFC\DUOC\2025\Semestre 2\PTY4614 - CAPSTONE\02 Fases\003D\Grupo 5\Fase 3\Evidencias Grupales\"/>
    </mc:Choice>
  </mc:AlternateContent>
  <bookViews>
    <workbookView xWindow="0" yWindow="0" windowWidth="23040" windowHeight="9072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E80" i="1"/>
  <c r="J79" i="1"/>
  <c r="K79" i="1" s="1"/>
  <c r="H79" i="1"/>
  <c r="I79" i="1" s="1"/>
  <c r="G79" i="1"/>
  <c r="E79" i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G67" i="1"/>
  <c r="E67" i="1"/>
  <c r="J66" i="1"/>
  <c r="K66" i="1" s="1"/>
  <c r="H66" i="1"/>
  <c r="I66" i="1" s="1"/>
  <c r="G66" i="1"/>
  <c r="E66" i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G40" i="1"/>
  <c r="E40" i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E14" i="1"/>
  <c r="E15" i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G14" i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<sst xmlns="http://schemas.openxmlformats.org/spreadsheetml/2006/main" count="181" uniqueCount="72">
  <si>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</si>
  <si>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</si>
  <si>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</si>
  <si>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</si>
  <si>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</si>
  <si>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</si>
  <si>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</si>
  <si>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</si>
  <si>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</si>
  <si>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</si>
  <si>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</si>
  <si>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</si>
  <si>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</si>
  <si>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</si>
  <si>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</si>
  <si>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</si>
  <si>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</si>
  <si>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</si>
  <si>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</si>
  <si>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</si>
  <si>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</si>
  <si>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</si>
  <si>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</si>
  <si>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</si>
  <si>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</si>
  <si>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</si>
  <si>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</si>
  <si>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</si>
  <si>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</si>
  <si>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</si>
  <si>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</si>
  <si>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</si>
  <si>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</si>
  <si>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</si>
  <si>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</si>
  <si>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</si>
  <si>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</si>
  <si>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</si>
  <si>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</si>
  <si>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</si>
  <si>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</si>
  <si>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</si>
  <si>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</si>
  <si>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</si>
  <si>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</si>
  <si>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</si>
  <si>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</si>
  <si>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</si>
  <si>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</si>
  <si>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</si>
  <si>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</si>
  <si>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</si>
  <si>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</si>
  <si>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</si>
  <si>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</si>
  <si>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</si>
  <si>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</si>
  <si>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</si>
  <si>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</si>
  <si>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</si>
  <si>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</si>
  <si>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</si>
  <si>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</si>
  <si>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CLAUDIO ANDRES ESCOBAR ZUNIGA</t>
  </si>
  <si>
    <t>RENZO GERMAN RIOS ABBATE</t>
  </si>
  <si>
    <t xml:space="preserve">CARLOS DE FERRARI </t>
  </si>
  <si>
    <t>No cambiaron la arquitectura como se les pidió</t>
  </si>
  <si>
    <t>Carta Gantt ok</t>
  </si>
  <si>
    <t>Rios 80%</t>
  </si>
  <si>
    <t>Carlos 100%</t>
  </si>
  <si>
    <t>Claudio 100%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</si>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</sst>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8" borderId="24" xfId="0" applyFont="1" applyFill="1" applyBorder="1"/>
    <xf numFmtId="0" fontId="13" fillId="8" borderId="25" xfId="0" applyFont="1" applyFill="1" applyBorder="1"/>
    <xf numFmtId="0" fontId="13" fillId="8" borderId="26" xfId="0" applyFont="1" applyFill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97"/>
  <sheetViews>
    <sheetView tabSelected="1" zoomScale="120" zoomScaleNormal="120" workbookViewId="0">
      <selection activeCell="F91" sqref="F91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5.7</v>
      </c>
      <c r="D4" s="37">
        <f>C60</f>
        <v>5.7</v>
      </c>
      <c r="E4" s="36">
        <f>C4*C$2+D4*D$2</f>
        <v>5.6999999999999993</v>
      </c>
    </row>
    <row r="5" spans="1:11" ht="14.4" x14ac:dyDescent="0.3">
      <c r="A5" s="3">
        <v>2</v>
      </c>
      <c r="B5" s="16" t="s">
        <v>64</v>
      </c>
      <c r="C5" s="31">
        <f>C34</f>
        <v>5.7</v>
      </c>
      <c r="D5" s="37">
        <f>C73</f>
        <v>5.7</v>
      </c>
      <c r="E5" s="36">
        <f t="shared" ref="E5:E6" si="0">C5*C$2+D5*D$2</f>
        <v>5.6999999999999993</v>
      </c>
    </row>
    <row r="6" spans="1:11" ht="14.4" x14ac:dyDescent="0.3">
      <c r="A6" s="3">
        <v>3</v>
      </c>
      <c r="B6" s="16" t="s">
        <v>65</v>
      </c>
      <c r="C6" s="31">
        <f>C47</f>
        <v>5.7</v>
      </c>
      <c r="D6" s="37">
        <f>C86</f>
        <v>5.7</v>
      </c>
      <c r="E6" s="36">
        <f t="shared" si="0"/>
        <v>5.6999999999999993</v>
      </c>
    </row>
    <row r="11" spans="1:11" ht="18" outlineLevel="1" x14ac:dyDescent="0.3">
      <c r="A11" s="42" t="s">
        <v>4</v>
      </c>
      <c r="B11" s="11" t="str">
        <f>B4</f>
        <v>CLAUDIO ANDRES ESCOBAR ZUNIGA</v>
      </c>
      <c r="C11" s="46" t="s">
        <v>5</v>
      </c>
      <c r="D11" s="47" t="s">
        <v>6</v>
      </c>
      <c r="E11" s="48"/>
      <c r="F11" s="48"/>
      <c r="G11" s="48"/>
      <c r="H11" s="48"/>
      <c r="I11" s="48"/>
      <c r="J11" s="48"/>
      <c r="K11" s="49"/>
    </row>
    <row r="12" spans="1:11" ht="14.4" outlineLevel="1" x14ac:dyDescent="0.3">
      <c r="A12" s="43"/>
      <c r="B12" s="15" t="s">
        <v>7</v>
      </c>
      <c r="C12" s="45"/>
      <c r="D12" s="47" t="s">
        <v>8</v>
      </c>
      <c r="E12" s="49"/>
      <c r="F12" s="47" t="s">
        <v>9</v>
      </c>
      <c r="G12" s="49"/>
      <c r="H12" s="50" t="s">
        <v>10</v>
      </c>
      <c r="I12" s="49"/>
      <c r="J12" s="47" t="s">
        <v>11</v>
      </c>
      <c r="K12" s="49"/>
    </row>
    <row r="13" spans="1:11" ht="24" outlineLevel="1" x14ac:dyDescent="0.3">
      <c r="A13" s="44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4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/>
      <c r="E14" s="12" t="str">
        <f>IF(D14="X",100*0.25,"")</f>
        <v/>
      </c>
      <c r="F14" s="12" t="s">
        <v>71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4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71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4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4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4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4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3"/>
      <c r="B20" s="18" t="s">
        <v>12</v>
      </c>
      <c r="C20" s="22">
        <f>E20+G20+I20+K20</f>
        <v>82</v>
      </c>
      <c r="D20" s="13"/>
      <c r="E20" s="13">
        <f>SUM(E13:E19)</f>
        <v>55</v>
      </c>
      <c r="F20" s="13"/>
      <c r="G20" s="13">
        <f>SUM(G13:G19)</f>
        <v>27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5"/>
      <c r="B21" s="21" t="s">
        <v>13</v>
      </c>
      <c r="C21" s="14">
        <f>VLOOKUP(C20,ESCALA_IEP!A2:B202,2,FALSE)</f>
        <v>5.7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2" t="s">
        <v>4</v>
      </c>
      <c r="B24" s="11" t="str">
        <f>B5</f>
        <v>RENZO GERMAN RIOS ABBATE</v>
      </c>
      <c r="C24" s="46" t="s">
        <v>5</v>
      </c>
      <c r="D24" s="47" t="s">
        <v>6</v>
      </c>
      <c r="E24" s="48"/>
      <c r="F24" s="48"/>
      <c r="G24" s="48"/>
      <c r="H24" s="48"/>
      <c r="I24" s="48"/>
      <c r="J24" s="48"/>
      <c r="K24" s="49"/>
    </row>
    <row r="25" spans="1:11" ht="24" customHeight="1" x14ac:dyDescent="0.3">
      <c r="A25" s="43"/>
      <c r="B25" s="15" t="s">
        <v>7</v>
      </c>
      <c r="C25" s="45"/>
      <c r="D25" s="47" t="s">
        <v>8</v>
      </c>
      <c r="E25" s="49"/>
      <c r="F25" s="47" t="s">
        <v>9</v>
      </c>
      <c r="G25" s="49"/>
      <c r="H25" s="50" t="s">
        <v>10</v>
      </c>
      <c r="I25" s="49"/>
      <c r="J25" s="47" t="s">
        <v>11</v>
      </c>
      <c r="K25" s="49"/>
    </row>
    <row r="26" spans="1:11" ht="24" customHeight="1" x14ac:dyDescent="0.3">
      <c r="A26" s="44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4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">
        <v>71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4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71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4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4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4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4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3"/>
      <c r="B33" s="18" t="s">
        <v>12</v>
      </c>
      <c r="C33" s="22">
        <f>E33+G33+I33+K33</f>
        <v>82</v>
      </c>
      <c r="D33" s="13"/>
      <c r="E33" s="13">
        <f>SUM(E26:E32)</f>
        <v>55</v>
      </c>
      <c r="F33" s="13"/>
      <c r="G33" s="13">
        <f>SUM(G26:G32)</f>
        <v>27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5"/>
      <c r="B34" s="21" t="s">
        <v>13</v>
      </c>
      <c r="C34" s="14">
        <f>VLOOKUP(C33,ESCALA_IEP!A15:B215,2,FALSE)</f>
        <v>5.7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2" t="s">
        <v>4</v>
      </c>
      <c r="B37" s="11" t="str">
        <f>B6</f>
        <v xml:space="preserve">CARLOS DE FERRARI </v>
      </c>
      <c r="C37" s="46" t="s">
        <v>5</v>
      </c>
      <c r="D37" s="47" t="s">
        <v>6</v>
      </c>
      <c r="E37" s="48"/>
      <c r="F37" s="48"/>
      <c r="G37" s="48"/>
      <c r="H37" s="48"/>
      <c r="I37" s="48"/>
      <c r="J37" s="48"/>
      <c r="K37" s="49"/>
    </row>
    <row r="38" spans="1:11" ht="24" customHeight="1" x14ac:dyDescent="0.3">
      <c r="A38" s="43"/>
      <c r="B38" s="15" t="s">
        <v>7</v>
      </c>
      <c r="C38" s="45"/>
      <c r="D38" s="47" t="s">
        <v>8</v>
      </c>
      <c r="E38" s="49"/>
      <c r="F38" s="47" t="s">
        <v>9</v>
      </c>
      <c r="G38" s="49"/>
      <c r="H38" s="50" t="s">
        <v>10</v>
      </c>
      <c r="I38" s="49"/>
      <c r="J38" s="47" t="s">
        <v>11</v>
      </c>
      <c r="K38" s="49"/>
    </row>
    <row r="39" spans="1:11" ht="24" customHeight="1" x14ac:dyDescent="0.3">
      <c r="A39" s="44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4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">
        <v>71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4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71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4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4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4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4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3"/>
      <c r="B46" s="18" t="s">
        <v>12</v>
      </c>
      <c r="C46" s="22">
        <f>E46+G46+I46+K46</f>
        <v>82</v>
      </c>
      <c r="D46" s="13"/>
      <c r="E46" s="13">
        <f>SUM(E39:E45)</f>
        <v>55</v>
      </c>
      <c r="F46" s="13"/>
      <c r="G46" s="13">
        <f>SUM(G39:G45)</f>
        <v>27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5"/>
      <c r="B47" s="21" t="s">
        <v>13</v>
      </c>
      <c r="C47" s="14">
        <f>VLOOKUP(C46,ESCALA_IEP!A28:B228,2,FALSE)</f>
        <v>5.7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51" t="s">
        <v>14</v>
      </c>
      <c r="B50" s="11" t="str">
        <f>B4</f>
        <v>CLAUDIO ANDRES ESCOBAR ZUNIGA</v>
      </c>
      <c r="C50" s="46" t="s">
        <v>5</v>
      </c>
      <c r="D50" s="47" t="s">
        <v>6</v>
      </c>
      <c r="E50" s="48"/>
      <c r="F50" s="48"/>
      <c r="G50" s="48"/>
      <c r="H50" s="48"/>
      <c r="I50" s="48"/>
      <c r="J50" s="48"/>
      <c r="K50" s="49"/>
    </row>
    <row r="51" spans="1:11" ht="24" customHeight="1" x14ac:dyDescent="0.3">
      <c r="A51" s="43"/>
      <c r="B51" s="15" t="s">
        <v>7</v>
      </c>
      <c r="C51" s="45"/>
      <c r="D51" s="47" t="s">
        <v>8</v>
      </c>
      <c r="E51" s="49"/>
      <c r="F51" s="47" t="s">
        <v>9</v>
      </c>
      <c r="G51" s="49"/>
      <c r="H51" s="50" t="s">
        <v>10</v>
      </c>
      <c r="I51" s="49"/>
      <c r="J51" s="47" t="s">
        <v>11</v>
      </c>
      <c r="K51" s="49"/>
    </row>
    <row r="52" spans="1:11" ht="24" customHeight="1" x14ac:dyDescent="0.3">
      <c r="A52" s="44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4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/>
      <c r="E53" s="12" t="str">
        <f>IF(D53="X",100*0.25,"")</f>
        <v/>
      </c>
      <c r="F53" s="12" t="s">
        <v>71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4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/>
      <c r="E54" s="12" t="str">
        <f>IF(D54="X",100*0.2,"")</f>
        <v/>
      </c>
      <c r="F54" s="12" t="s">
        <v>71</v>
      </c>
      <c r="G54" s="12">
        <f>IF(F54="X",60*0.2,"")</f>
        <v>12</v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4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4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4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4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3"/>
      <c r="B59" s="18" t="s">
        <v>12</v>
      </c>
      <c r="C59" s="22">
        <f>E59+G59+I59+K59</f>
        <v>82</v>
      </c>
      <c r="D59" s="13"/>
      <c r="E59" s="13">
        <f>SUM(E52:E58)</f>
        <v>55</v>
      </c>
      <c r="F59" s="13"/>
      <c r="G59" s="13">
        <f>SUM(G52:G58)</f>
        <v>27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5"/>
      <c r="B60" s="21" t="s">
        <v>13</v>
      </c>
      <c r="C60" s="14">
        <f>VLOOKUP(C59,ESCALA_IEP!A41:B241,2,FALSE)</f>
        <v>5.7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51" t="s">
        <v>15</v>
      </c>
      <c r="B63" s="11" t="str">
        <f>B5</f>
        <v>RENZO GERMAN RIOS ABBATE</v>
      </c>
      <c r="C63" s="46" t="s">
        <v>5</v>
      </c>
      <c r="D63" s="47" t="s">
        <v>6</v>
      </c>
      <c r="E63" s="48"/>
      <c r="F63" s="48"/>
      <c r="G63" s="48"/>
      <c r="H63" s="48"/>
      <c r="I63" s="48"/>
      <c r="J63" s="48"/>
      <c r="K63" s="49"/>
    </row>
    <row r="64" spans="1:11" ht="24" customHeight="1" x14ac:dyDescent="0.3">
      <c r="A64" s="43"/>
      <c r="B64" s="15" t="s">
        <v>7</v>
      </c>
      <c r="C64" s="45"/>
      <c r="D64" s="47" t="s">
        <v>8</v>
      </c>
      <c r="E64" s="49"/>
      <c r="F64" s="47" t="s">
        <v>9</v>
      </c>
      <c r="G64" s="49"/>
      <c r="H64" s="50" t="s">
        <v>10</v>
      </c>
      <c r="I64" s="49"/>
      <c r="J64" s="47" t="s">
        <v>11</v>
      </c>
      <c r="K64" s="49"/>
    </row>
    <row r="65" spans="1:11" ht="24" customHeight="1" x14ac:dyDescent="0.3">
      <c r="A65" s="44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4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">
        <v>71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4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71</v>
      </c>
      <c r="G67" s="12">
        <f>IF(F67="X",60*0.2,"")</f>
        <v>12</v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4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4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4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4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3"/>
      <c r="B72" s="18" t="s">
        <v>12</v>
      </c>
      <c r="C72" s="22">
        <f>E72+G72+I72+K72</f>
        <v>82</v>
      </c>
      <c r="D72" s="13"/>
      <c r="E72" s="13">
        <f>SUM(E65:E71)</f>
        <v>55</v>
      </c>
      <c r="F72" s="13"/>
      <c r="G72" s="13">
        <f>SUM(G65:G71)</f>
        <v>27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5"/>
      <c r="B73" s="21" t="s">
        <v>13</v>
      </c>
      <c r="C73" s="14">
        <f>VLOOKUP(C72,ESCALA_IEP!A54:B254,2,FALSE)</f>
        <v>5.7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51" t="s">
        <v>16</v>
      </c>
      <c r="B76" s="11" t="str">
        <f>B6</f>
        <v xml:space="preserve">CARLOS DE FERRARI </v>
      </c>
      <c r="C76" s="46" t="s">
        <v>5</v>
      </c>
      <c r="D76" s="47" t="s">
        <v>6</v>
      </c>
      <c r="E76" s="48"/>
      <c r="F76" s="48"/>
      <c r="G76" s="48"/>
      <c r="H76" s="48"/>
      <c r="I76" s="48"/>
      <c r="J76" s="48"/>
      <c r="K76" s="49"/>
    </row>
    <row r="77" spans="1:11" ht="24" customHeight="1" x14ac:dyDescent="0.3">
      <c r="A77" s="43"/>
      <c r="B77" s="15" t="s">
        <v>7</v>
      </c>
      <c r="C77" s="45"/>
      <c r="D77" s="47" t="s">
        <v>8</v>
      </c>
      <c r="E77" s="49"/>
      <c r="F77" s="47" t="s">
        <v>9</v>
      </c>
      <c r="G77" s="49"/>
      <c r="H77" s="50" t="s">
        <v>10</v>
      </c>
      <c r="I77" s="49"/>
      <c r="J77" s="47" t="s">
        <v>11</v>
      </c>
      <c r="K77" s="49"/>
    </row>
    <row r="78" spans="1:11" ht="24" customHeight="1" x14ac:dyDescent="0.3">
      <c r="A78" s="44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4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">
        <v>71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4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71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4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4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4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4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3"/>
      <c r="B85" s="18" t="s">
        <v>12</v>
      </c>
      <c r="C85" s="22">
        <f>E85+G85+I85+K85</f>
        <v>82</v>
      </c>
      <c r="D85" s="13"/>
      <c r="E85" s="13">
        <f>SUM(E78:E84)</f>
        <v>55</v>
      </c>
      <c r="F85" s="13"/>
      <c r="G85" s="13">
        <f>SUM(G78:G84)</f>
        <v>27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5"/>
      <c r="B86" s="21" t="s">
        <v>13</v>
      </c>
      <c r="C86" s="14">
        <f>VLOOKUP(C85,ESCALA_IEP!A67:B267,2,FALSE)</f>
        <v>5.7</v>
      </c>
    </row>
    <row r="87" spans="1:11" ht="15.75" customHeight="1" thickBot="1" x14ac:dyDescent="0.35"/>
    <row r="88" spans="1:11" ht="15.75" customHeight="1" x14ac:dyDescent="0.3">
      <c r="B88" s="39" t="s">
        <v>66</v>
      </c>
    </row>
    <row r="89" spans="1:11" ht="15.75" customHeight="1" x14ac:dyDescent="0.3">
      <c r="B89" s="40" t="s">
        <v>67</v>
      </c>
    </row>
    <row r="90" spans="1:11" ht="15.75" customHeight="1" x14ac:dyDescent="0.3">
      <c r="B90" s="40" t="s">
        <v>68</v>
      </c>
    </row>
    <row r="91" spans="1:11" ht="15.75" customHeight="1" x14ac:dyDescent="0.3">
      <c r="B91" s="40" t="s">
        <v>69</v>
      </c>
    </row>
    <row r="92" spans="1:11" ht="15.75" customHeight="1" thickBot="1" x14ac:dyDescent="0.35">
      <c r="B92" s="41" t="s">
        <v>70</v>
      </c>
    </row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2" t="s">
        <v>17</v>
      </c>
      <c r="B1" s="54" t="s">
        <v>18</v>
      </c>
      <c r="C1" s="55"/>
      <c r="D1" s="55"/>
      <c r="E1" s="56"/>
      <c r="F1" s="52" t="s">
        <v>19</v>
      </c>
    </row>
    <row r="2" spans="1:6" x14ac:dyDescent="0.3">
      <c r="A2" s="53"/>
      <c r="B2" s="57" t="s">
        <v>20</v>
      </c>
      <c r="C2" s="57" t="s">
        <v>21</v>
      </c>
      <c r="D2" s="25" t="s">
        <v>22</v>
      </c>
      <c r="E2" s="26" t="s">
        <v>11</v>
      </c>
      <c r="F2" s="53"/>
    </row>
    <row r="3" spans="1:6" x14ac:dyDescent="0.3">
      <c r="A3" s="53"/>
      <c r="B3" s="58"/>
      <c r="C3" s="58"/>
      <c r="D3" s="27">
        <v>0.3</v>
      </c>
      <c r="E3" s="27">
        <v>0</v>
      </c>
      <c r="F3" s="53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9" t="s">
        <v>60</v>
      </c>
      <c r="B1" s="4" t="s">
        <v>12</v>
      </c>
      <c r="C1" s="5"/>
      <c r="D1" s="5"/>
      <c r="E1" s="6"/>
    </row>
    <row r="2" spans="1:5" ht="43.8" thickBot="1" x14ac:dyDescent="0.35">
      <c r="A2" s="60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Mauricio Figueroa</cp:lastModifiedBy>
  <cp:revision/>
  <dcterms:created xsi:type="dcterms:W3CDTF">2023-08-07T04:08:01Z</dcterms:created>
  <dcterms:modified xsi:type="dcterms:W3CDTF">2025-12-10T20:16:26Z</dcterms:modified>
  <cp:category/>
  <cp:contentStatus/>
</cp:coreProperties>
</file>